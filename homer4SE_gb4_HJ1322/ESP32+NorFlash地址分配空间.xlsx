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work-temp\YXZG-Homer4SE\homer4sev2.1\homer4sev2.1\"/>
    </mc:Choice>
  </mc:AlternateContent>
  <xr:revisionPtr revIDLastSave="0" documentId="13_ncr:1_{FE1B88FF-0917-4244-925B-2B1015BDEA12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</calcChain>
</file>

<file path=xl/sharedStrings.xml><?xml version="1.0" encoding="utf-8"?>
<sst xmlns="http://schemas.openxmlformats.org/spreadsheetml/2006/main" count="49" uniqueCount="38">
  <si>
    <t>nvs</t>
  </si>
  <si>
    <t>product</t>
  </si>
  <si>
    <t>otadata</t>
  </si>
  <si>
    <t>rundata</t>
  </si>
  <si>
    <t>app0</t>
  </si>
  <si>
    <t>app1</t>
  </si>
  <si>
    <t>序号</t>
    <phoneticPr fontId="1" type="noConversion"/>
  </si>
  <si>
    <t>项目名称</t>
    <phoneticPr fontId="1" type="noConversion"/>
  </si>
  <si>
    <t>类型</t>
    <phoneticPr fontId="1" type="noConversion"/>
  </si>
  <si>
    <t>备注</t>
    <phoneticPr fontId="1" type="noConversion"/>
  </si>
  <si>
    <t>子类型</t>
    <phoneticPr fontId="1" type="noConversion"/>
  </si>
  <si>
    <t>data</t>
    <phoneticPr fontId="1" type="noConversion"/>
  </si>
  <si>
    <t>app</t>
    <phoneticPr fontId="1" type="noConversion"/>
  </si>
  <si>
    <t>nvs</t>
    <phoneticPr fontId="1" type="noConversion"/>
  </si>
  <si>
    <t>ota</t>
    <phoneticPr fontId="1" type="noConversion"/>
  </si>
  <si>
    <t>ota_0</t>
    <phoneticPr fontId="1" type="noConversion"/>
  </si>
  <si>
    <t>ota_1</t>
    <phoneticPr fontId="1" type="noConversion"/>
  </si>
  <si>
    <t>空间大小</t>
    <phoneticPr fontId="1" type="noConversion"/>
  </si>
  <si>
    <t>空间大小(KB)</t>
    <phoneticPr fontId="1" type="noConversion"/>
  </si>
  <si>
    <t>NC</t>
    <phoneticPr fontId="1" type="noConversion"/>
  </si>
  <si>
    <t xml:space="preserve">NC </t>
    <phoneticPr fontId="1" type="noConversion"/>
  </si>
  <si>
    <t>保留区域</t>
    <phoneticPr fontId="1" type="noConversion"/>
  </si>
  <si>
    <t>0x009000</t>
    <phoneticPr fontId="1" type="noConversion"/>
  </si>
  <si>
    <t>0x00C000</t>
    <phoneticPr fontId="1" type="noConversion"/>
  </si>
  <si>
    <t>0x00D000</t>
    <phoneticPr fontId="1" type="noConversion"/>
  </si>
  <si>
    <t>0x00F000</t>
    <phoneticPr fontId="1" type="noConversion"/>
  </si>
  <si>
    <t>0x010000</t>
    <phoneticPr fontId="1" type="noConversion"/>
  </si>
  <si>
    <t>0x200000</t>
    <phoneticPr fontId="1" type="noConversion"/>
  </si>
  <si>
    <t>0x000000</t>
    <phoneticPr fontId="1" type="noConversion"/>
  </si>
  <si>
    <t>0x003000</t>
    <phoneticPr fontId="1" type="noConversion"/>
  </si>
  <si>
    <t>0x001000</t>
    <phoneticPr fontId="1" type="noConversion"/>
  </si>
  <si>
    <t>0x002000</t>
    <phoneticPr fontId="1" type="noConversion"/>
  </si>
  <si>
    <t>0x1F0000</t>
    <phoneticPr fontId="1" type="noConversion"/>
  </si>
  <si>
    <t>开始地址</t>
    <phoneticPr fontId="1" type="noConversion"/>
  </si>
  <si>
    <t>Boot</t>
    <phoneticPr fontId="1" type="noConversion"/>
  </si>
  <si>
    <t>0x007000</t>
    <phoneticPr fontId="1" type="noConversion"/>
  </si>
  <si>
    <t>分区表</t>
    <phoneticPr fontId="1" type="noConversion"/>
  </si>
  <si>
    <t>0x008000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</si>
</sst>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1005840</xdr:colOff>
      <xdr:row>14</xdr:row>
      <xdr:rowOff>160020</xdr:rowOff>
    </xdr:from>
    <xdr:to>
      <xdr:col>8</xdr:col>
      <xdr:colOff>464820</xdr:colOff>
      <xdr:row>23</xdr:row>
      <xdr:rowOff>167640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FFF391A3-957E-ED1F-2474-1151D164E051}"/>
            </a:ext>
          </a:extLst>
        </xdr:cNvPr>
        <xdr:cNvSpPr txBox="1"/>
      </xdr:nvSpPr>
      <xdr:spPr>
        <a:xfrm>
          <a:off x="2834640" y="2613660"/>
          <a:ext cx="8686800" cy="1584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0-0x1000 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保留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0x1000-0x8000 Bootloader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分区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0x8000-0x9000 Partition Table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分区，保存着分区表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0x9000-0xD000 NVS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分区，可以存储一些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PHY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初始化数据，也可以存储其他数据，一些断电存储的数据建议放在这里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0xD000-0xF000 OTA data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分区，系统从哪个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分区启动由这里存储的数据决定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0xF000-0x10000 PHy_init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分区，用于存储的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PHY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初始化数据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0x10000-0x3FFFFF Factory APP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分区，保存出厂应用程序，分区表有工厂应用程序就会启动这个分区的程序</a:t>
          </a:r>
        </a:p>
        <a:p>
          <a:endParaRPr lang="zh-CN" altLang="en-US" sz="1100"/>
        </a:p>
      </xdr:txBody>
    </xdr:sp>
    <xdr:clientData/>
  </xdr:twoCellAnchor>
  <xdr:twoCellAnchor>
    <xdr:from>
      <xdr:col>3</xdr:col>
      <xdr:colOff>1043940</xdr:colOff>
      <xdr:row>26</xdr:row>
      <xdr:rowOff>76200</xdr:rowOff>
    </xdr:from>
    <xdr:to>
      <xdr:col>8</xdr:col>
      <xdr:colOff>327660</xdr:colOff>
      <xdr:row>47</xdr:row>
      <xdr:rowOff>15240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CBCAD107-C2F7-F313-9D55-75353E4065F4}"/>
            </a:ext>
          </a:extLst>
        </xdr:cNvPr>
        <xdr:cNvSpPr txBox="1"/>
      </xdr:nvSpPr>
      <xdr:spPr>
        <a:xfrm>
          <a:off x="2872740" y="4632960"/>
          <a:ext cx="8511540" cy="3619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程序启动过程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ESP32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，是如何运行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RTOS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的？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参考文档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general-notes.rst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 第一阶段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bootloader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ROM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中）加载第二阶段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bootloader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（位于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FLASH 0X1000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 第二阶段的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boot loader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加载分区表和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 APP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应用程序（其实就是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freertos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了）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 APP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包含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RAM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段和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Flash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段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① 去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0X8000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加载分区表，配置两个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（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 CPU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 CPU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）的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MMU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，但只使能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 cpu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flash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，一旦被加载，就会跳到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 APP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的入口</a:t>
          </a:r>
        </a:p>
        <a:p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、执行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 APP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，此时，第二个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RTOS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调度器都会运行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入口调用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componments/esp32/cpu_start.c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中的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call_start_cpu0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函数，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此函数会调用 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call_start_cpu1.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执行后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 CPU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执行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start_cpu0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 CPU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执行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start_cpu1</a:t>
          </a:r>
        </a:p>
        <a:p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最终会调用</a:t>
          </a:r>
          <a:r>
            <a:rPr lang="en-US" altLang="zh-CN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app_main</a:t>
          </a:r>
          <a:r>
            <a:rPr lang="zh-CN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函数</a:t>
          </a:r>
        </a:p>
        <a:p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2</xdr:row>
      <xdr:rowOff>60960</xdr:rowOff>
    </xdr:from>
    <xdr:to>
      <xdr:col>13</xdr:col>
      <xdr:colOff>30480</xdr:colOff>
      <xdr:row>25</xdr:row>
      <xdr:rowOff>83820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79920A1-8D74-09E6-D0AE-3BAD993C8404}"/>
            </a:ext>
          </a:extLst>
        </xdr:cNvPr>
        <xdr:cNvSpPr txBox="1"/>
      </xdr:nvSpPr>
      <xdr:spPr>
        <a:xfrm>
          <a:off x="822960" y="411480"/>
          <a:ext cx="7132320" cy="4053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ESP32</a:t>
          </a:r>
          <a:r>
            <a:rPr lang="zh-CN" altLang="en-US" sz="1100" baseline="0"/>
            <a:t> </a:t>
          </a:r>
          <a:r>
            <a:rPr lang="en-US" altLang="zh-CN" sz="1100" baseline="0"/>
            <a:t>Flash</a:t>
          </a:r>
          <a:r>
            <a:rPr lang="zh-CN" altLang="en-US" sz="1100" baseline="0"/>
            <a:t>结构</a:t>
          </a:r>
          <a:endParaRPr lang="en-US" altLang="zh-CN" sz="1100" baseline="0"/>
        </a:p>
        <a:p>
          <a:r>
            <a:rPr lang="en-US" altLang="zh-CN" sz="1100"/>
            <a:t>flash </a:t>
          </a:r>
          <a:r>
            <a:rPr lang="zh-CN" altLang="en-US" sz="1100"/>
            <a:t>物理组成  </a:t>
          </a:r>
          <a:endParaRPr lang="en-US" altLang="zh-CN" sz="1100"/>
        </a:p>
        <a:p>
          <a:r>
            <a:rPr lang="en-US" altLang="zh-CN" sz="1100"/>
            <a:t>esp32</a:t>
          </a:r>
          <a:r>
            <a:rPr lang="zh-CN" altLang="en-US" sz="1100"/>
            <a:t>的</a:t>
          </a:r>
          <a:r>
            <a:rPr lang="en-US" altLang="zh-CN" sz="1100"/>
            <a:t>falsh</a:t>
          </a:r>
          <a:r>
            <a:rPr lang="zh-CN" altLang="en-US" sz="1100"/>
            <a:t>可以分为三部分</a:t>
          </a:r>
          <a:r>
            <a:rPr lang="en-US" altLang="zh-CN" sz="1100"/>
            <a:t>:</a:t>
          </a:r>
          <a:r>
            <a:rPr lang="zh-CN" altLang="en-US" sz="1100"/>
            <a:t>内部</a:t>
          </a:r>
          <a:r>
            <a:rPr lang="en-US" altLang="zh-CN" sz="1100"/>
            <a:t>flash: </a:t>
          </a:r>
          <a:r>
            <a:rPr lang="zh-CN" altLang="en-US" sz="1100"/>
            <a:t>内部</a:t>
          </a:r>
          <a:r>
            <a:rPr lang="en-US" altLang="zh-CN" sz="1100"/>
            <a:t>flash</a:t>
          </a:r>
          <a:r>
            <a:rPr lang="zh-CN" altLang="en-US" sz="1100"/>
            <a:t>是</a:t>
          </a:r>
          <a:r>
            <a:rPr lang="en-US" altLang="zh-CN" sz="1100"/>
            <a:t>esp32</a:t>
          </a:r>
          <a:r>
            <a:rPr lang="zh-CN" altLang="en-US" sz="1100"/>
            <a:t>芯片自带的</a:t>
          </a:r>
          <a:r>
            <a:rPr lang="en-US" altLang="zh-CN" sz="1100"/>
            <a:t>flash</a:t>
          </a:r>
          <a:r>
            <a:rPr lang="zh-CN" altLang="en-US" sz="1100"/>
            <a:t>，空间大小是</a:t>
          </a:r>
          <a:r>
            <a:rPr lang="en-US" altLang="zh-CN" sz="1100"/>
            <a:t>448k</a:t>
          </a:r>
          <a:r>
            <a:rPr lang="zh-CN" altLang="en-US" sz="1100"/>
            <a:t>主系统</a:t>
          </a:r>
          <a:r>
            <a:rPr lang="en-US" altLang="zh-CN" sz="1100"/>
            <a:t>falsh: </a:t>
          </a:r>
          <a:r>
            <a:rPr lang="zh-CN" altLang="en-US" sz="1100"/>
            <a:t>一般</a:t>
          </a:r>
          <a:r>
            <a:rPr lang="en-US" altLang="zh-CN" sz="1100"/>
            <a:t>esp32</a:t>
          </a:r>
          <a:r>
            <a:rPr lang="zh-CN" altLang="en-US" sz="1100"/>
            <a:t>模组都带了一个</a:t>
          </a:r>
          <a:r>
            <a:rPr lang="en-US" altLang="zh-CN" sz="1100"/>
            <a:t>flash</a:t>
          </a:r>
          <a:r>
            <a:rPr lang="zh-CN" altLang="en-US" sz="1100"/>
            <a:t>芯片作为主系统</a:t>
          </a:r>
          <a:r>
            <a:rPr lang="en-US" altLang="zh-CN" sz="1100"/>
            <a:t>flash</a:t>
          </a:r>
          <a:r>
            <a:rPr lang="zh-CN" altLang="en-US" sz="1100"/>
            <a:t>，通过</a:t>
          </a:r>
          <a:r>
            <a:rPr lang="en-US" altLang="zh-CN" sz="1100"/>
            <a:t>spi</a:t>
          </a:r>
          <a:r>
            <a:rPr lang="zh-CN" altLang="en-US" sz="1100"/>
            <a:t>总线进行访问。这个主</a:t>
          </a:r>
          <a:r>
            <a:rPr lang="en-US" altLang="zh-CN" sz="1100"/>
            <a:t>falsh</a:t>
          </a:r>
          <a:r>
            <a:rPr lang="zh-CN" altLang="en-US" sz="1100"/>
            <a:t>芯片是用来存放系统数据、代码等东西的，如</a:t>
          </a:r>
          <a:r>
            <a:rPr lang="en-US" altLang="zh-CN" sz="1100"/>
            <a:t>wroom</a:t>
          </a:r>
          <a:r>
            <a:rPr lang="zh-CN" altLang="en-US" sz="1100"/>
            <a:t>模组上带了</a:t>
          </a:r>
          <a:r>
            <a:rPr lang="en-US" altLang="zh-CN" sz="1100"/>
            <a:t>4M</a:t>
          </a:r>
          <a:r>
            <a:rPr lang="zh-CN" altLang="en-US" sz="1100"/>
            <a:t>的主系统</a:t>
          </a:r>
          <a:r>
            <a:rPr lang="en-US" altLang="zh-CN" sz="1100"/>
            <a:t>flash</a:t>
          </a:r>
          <a:r>
            <a:rPr lang="zh-CN" altLang="en-US" sz="1100"/>
            <a:t>。不过，</a:t>
          </a:r>
          <a:r>
            <a:rPr lang="en-US" altLang="zh-CN" sz="1100"/>
            <a:t>esp32 configmenu</a:t>
          </a:r>
          <a:r>
            <a:rPr lang="zh-CN" altLang="en-US" sz="1100"/>
            <a:t>默认设置主系统</a:t>
          </a:r>
          <a:r>
            <a:rPr lang="en-US" altLang="zh-CN" sz="1100"/>
            <a:t>flash</a:t>
          </a:r>
          <a:r>
            <a:rPr lang="zh-CN" altLang="en-US" sz="1100"/>
            <a:t>是</a:t>
          </a:r>
          <a:r>
            <a:rPr lang="en-US" altLang="zh-CN" sz="1100"/>
            <a:t>2M,</a:t>
          </a:r>
          <a:r>
            <a:rPr lang="zh-CN" altLang="en-US" sz="1100"/>
            <a:t>需要手动进行调整，最大可以达到</a:t>
          </a:r>
          <a:r>
            <a:rPr lang="en-US" altLang="zh-CN" sz="1100"/>
            <a:t>16M</a:t>
          </a:r>
          <a:r>
            <a:rPr lang="zh-CN" altLang="en-US" sz="1100"/>
            <a:t>。主系统</a:t>
          </a:r>
          <a:r>
            <a:rPr lang="en-US" altLang="zh-CN" sz="1100"/>
            <a:t>flash</a:t>
          </a:r>
          <a:r>
            <a:rPr lang="zh-CN" altLang="en-US" sz="1100"/>
            <a:t>芯片一般来说是必须的。外部</a:t>
          </a:r>
          <a:r>
            <a:rPr lang="en-US" altLang="zh-CN" sz="1100"/>
            <a:t>flash: </a:t>
          </a:r>
          <a:r>
            <a:rPr lang="zh-CN" altLang="en-US" sz="1100"/>
            <a:t>除了主系统</a:t>
          </a:r>
          <a:r>
            <a:rPr lang="en-US" altLang="zh-CN" sz="1100"/>
            <a:t>flash</a:t>
          </a:r>
          <a:r>
            <a:rPr lang="zh-CN" altLang="en-US" sz="1100"/>
            <a:t>外，还可以通过</a:t>
          </a:r>
          <a:r>
            <a:rPr lang="en-US" altLang="zh-CN" sz="1100"/>
            <a:t>spi</a:t>
          </a:r>
          <a:r>
            <a:rPr lang="zh-CN" altLang="en-US" sz="1100"/>
            <a:t>的其他总线扩展外部</a:t>
          </a:r>
          <a:r>
            <a:rPr lang="en-US" altLang="zh-CN" sz="1100"/>
            <a:t>flash</a:t>
          </a:r>
          <a:r>
            <a:rPr lang="zh-CN" altLang="en-US" sz="1100"/>
            <a:t>。这个</a:t>
          </a:r>
          <a:r>
            <a:rPr lang="en-US" altLang="zh-CN" sz="1100"/>
            <a:t>flash</a:t>
          </a:r>
          <a:r>
            <a:rPr lang="zh-CN" altLang="en-US" sz="1100"/>
            <a:t>如果有需要，可以自己增加。</a:t>
          </a:r>
          <a:endParaRPr lang="en-US" altLang="zh-CN" sz="1100"/>
        </a:p>
        <a:p>
          <a:endParaRPr lang="en-US" altLang="zh-CN" sz="1100"/>
        </a:p>
        <a:p>
          <a:r>
            <a:rPr lang="en-US" altLang="zh-CN" sz="1100"/>
            <a:t>Flash</a:t>
          </a:r>
          <a:r>
            <a:rPr lang="zh-CN" altLang="en-US" sz="1100"/>
            <a:t>内部结构</a:t>
          </a:r>
          <a:endParaRPr lang="en-US" altLang="zh-CN" sz="1100"/>
        </a:p>
        <a:p>
          <a:r>
            <a:rPr lang="en-US" altLang="zh-CN" sz="1100"/>
            <a:t>Flash</a:t>
          </a:r>
          <a:r>
            <a:rPr lang="zh-CN" altLang="en-US" sz="1100"/>
            <a:t>从内部结构上看，包括</a:t>
          </a:r>
          <a:r>
            <a:rPr lang="en-US" altLang="zh-CN" sz="1100"/>
            <a:t>BootLoader</a:t>
          </a:r>
          <a:r>
            <a:rPr lang="zh-CN" altLang="en-US" sz="1100"/>
            <a:t>，分区表和用户数据（包括代码和存储数据）三部分</a:t>
          </a:r>
          <a:endParaRPr lang="en-US" altLang="zh-CN" sz="1100"/>
        </a:p>
        <a:p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opLeftCell="A7" workbookViewId="0">
      <selection activeCell="E50" sqref="E50"/>
    </sheetView>
  </sheetViews>
  <sheetFormatPr defaultRowHeight="13.8" x14ac:dyDescent="0.25"/>
  <cols>
    <col min="4" max="4" width="27.77734375" customWidth="1"/>
    <col min="5" max="5" width="20.109375" customWidth="1"/>
    <col min="6" max="7" width="28.33203125" customWidth="1"/>
    <col min="8" max="8" width="30" customWidth="1"/>
  </cols>
  <sheetData>
    <row r="1" spans="1:8" x14ac:dyDescent="0.25">
      <c r="A1" s="2" t="s">
        <v>6</v>
      </c>
      <c r="B1" s="3" t="s">
        <v>7</v>
      </c>
      <c r="C1" s="3" t="s">
        <v>8</v>
      </c>
      <c r="D1" s="3" t="s">
        <v>10</v>
      </c>
      <c r="E1" s="4" t="s">
        <v>33</v>
      </c>
      <c r="F1" s="3" t="s">
        <v>17</v>
      </c>
      <c r="G1" s="3" t="s">
        <v>18</v>
      </c>
      <c r="H1" s="3" t="s">
        <v>9</v>
      </c>
    </row>
    <row r="2" spans="1:8" x14ac:dyDescent="0.25">
      <c r="A2" s="5">
        <v>1</v>
      </c>
      <c r="B2" s="6" t="s">
        <v>21</v>
      </c>
      <c r="C2" s="6" t="s">
        <v>19</v>
      </c>
      <c r="D2" s="6" t="s">
        <v>20</v>
      </c>
      <c r="E2" s="6" t="s">
        <v>28</v>
      </c>
      <c r="F2" s="6" t="s">
        <v>30</v>
      </c>
      <c r="G2" s="7">
        <v>4</v>
      </c>
      <c r="H2" s="6"/>
    </row>
    <row r="3" spans="1:8" x14ac:dyDescent="0.25">
      <c r="A3" s="5">
        <v>2</v>
      </c>
      <c r="B3" s="6" t="s">
        <v>34</v>
      </c>
      <c r="C3" s="6"/>
      <c r="D3" s="6"/>
      <c r="E3" s="6" t="s">
        <v>30</v>
      </c>
      <c r="F3" s="6" t="s">
        <v>35</v>
      </c>
      <c r="G3" s="7">
        <v>28</v>
      </c>
      <c r="H3" s="6"/>
    </row>
    <row r="4" spans="1:8" x14ac:dyDescent="0.25">
      <c r="A4" s="5">
        <v>3</v>
      </c>
      <c r="B4" s="6" t="s">
        <v>36</v>
      </c>
      <c r="C4" s="6"/>
      <c r="D4" s="6"/>
      <c r="E4" s="6" t="s">
        <v>37</v>
      </c>
      <c r="F4" s="6" t="s">
        <v>30</v>
      </c>
      <c r="G4" s="7">
        <v>4</v>
      </c>
      <c r="H4" s="6"/>
    </row>
    <row r="5" spans="1:8" x14ac:dyDescent="0.25">
      <c r="A5" s="5">
        <v>4</v>
      </c>
      <c r="B5" s="8" t="s">
        <v>0</v>
      </c>
      <c r="C5" s="8" t="s">
        <v>11</v>
      </c>
      <c r="D5" s="8" t="s">
        <v>13</v>
      </c>
      <c r="E5" s="8" t="s">
        <v>22</v>
      </c>
      <c r="F5" s="8" t="s">
        <v>29</v>
      </c>
      <c r="G5" s="8">
        <v>12</v>
      </c>
      <c r="H5" s="8"/>
    </row>
    <row r="6" spans="1:8" x14ac:dyDescent="0.25">
      <c r="A6" s="5">
        <v>5</v>
      </c>
      <c r="B6" s="8" t="s">
        <v>1</v>
      </c>
      <c r="C6" s="8" t="s">
        <v>11</v>
      </c>
      <c r="D6" s="8" t="s">
        <v>13</v>
      </c>
      <c r="E6" s="8" t="s">
        <v>23</v>
      </c>
      <c r="F6" s="8" t="s">
        <v>30</v>
      </c>
      <c r="G6" s="8">
        <v>4</v>
      </c>
      <c r="H6" s="8"/>
    </row>
    <row r="7" spans="1:8" x14ac:dyDescent="0.25">
      <c r="A7" s="5">
        <v>6</v>
      </c>
      <c r="B7" s="8" t="s">
        <v>2</v>
      </c>
      <c r="C7" s="8" t="s">
        <v>11</v>
      </c>
      <c r="D7" s="8" t="s">
        <v>14</v>
      </c>
      <c r="E7" s="8" t="s">
        <v>24</v>
      </c>
      <c r="F7" s="8" t="s">
        <v>31</v>
      </c>
      <c r="G7" s="8">
        <v>8</v>
      </c>
      <c r="H7" s="8"/>
    </row>
    <row r="8" spans="1:8" x14ac:dyDescent="0.25">
      <c r="A8" s="5">
        <v>7</v>
      </c>
      <c r="B8" s="8" t="s">
        <v>3</v>
      </c>
      <c r="C8" s="8" t="s">
        <v>11</v>
      </c>
      <c r="D8" s="8" t="s">
        <v>13</v>
      </c>
      <c r="E8" s="8" t="s">
        <v>25</v>
      </c>
      <c r="F8" s="8" t="s">
        <v>30</v>
      </c>
      <c r="G8" s="8">
        <v>4</v>
      </c>
      <c r="H8" s="8"/>
    </row>
    <row r="9" spans="1:8" x14ac:dyDescent="0.25">
      <c r="A9" s="5">
        <v>8</v>
      </c>
      <c r="B9" s="8" t="s">
        <v>4</v>
      </c>
      <c r="C9" s="8" t="s">
        <v>12</v>
      </c>
      <c r="D9" s="8" t="s">
        <v>15</v>
      </c>
      <c r="E9" s="8" t="s">
        <v>26</v>
      </c>
      <c r="F9" s="8" t="s">
        <v>32</v>
      </c>
      <c r="G9" s="8">
        <v>1984</v>
      </c>
      <c r="H9" s="8"/>
    </row>
    <row r="10" spans="1:8" x14ac:dyDescent="0.25">
      <c r="A10" s="5">
        <v>9</v>
      </c>
      <c r="B10" s="8" t="s">
        <v>5</v>
      </c>
      <c r="C10" s="8" t="s">
        <v>12</v>
      </c>
      <c r="D10" s="8" t="s">
        <v>16</v>
      </c>
      <c r="E10" s="8" t="s">
        <v>27</v>
      </c>
      <c r="F10" s="8" t="s">
        <v>27</v>
      </c>
      <c r="G10" s="8">
        <v>2048</v>
      </c>
      <c r="H10" s="8"/>
    </row>
    <row r="11" spans="1:8" x14ac:dyDescent="0.25">
      <c r="B11" s="1"/>
      <c r="C11" s="1"/>
      <c r="D11" s="1"/>
      <c r="E11" s="1"/>
      <c r="F11" s="1"/>
      <c r="G11" s="1"/>
      <c r="H11" s="1"/>
    </row>
    <row r="13" spans="1:8" x14ac:dyDescent="0.25">
      <c r="G13">
        <f>SUM(G2:G12)</f>
        <v>4096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9E386-D0FF-4BCA-92B1-3A715AFAB456}">
  <dimension ref="A1"/>
  <sheetViews>
    <sheetView tabSelected="1" workbookViewId="0">
      <selection activeCell="R29" sqref="R29"/>
    </sheetView>
  </sheetViews>
  <sheetFormatPr defaultRowHeight="13.8" x14ac:dyDescent="0.25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SHME-007</dc:creator>
  <cp:lastModifiedBy>SHME-007</cp:lastModifiedBy>
  <dcterms:created xsi:type="dcterms:W3CDTF">2015-06-05T18:19:34Z</dcterms:created>
  <dcterms:modified xsi:type="dcterms:W3CDTF">2023-01-23T14:39:06Z</dcterms:modified>
</cp:coreProperties>
</file>